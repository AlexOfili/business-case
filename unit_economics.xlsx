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iceTi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Profit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color rgb="000000FF"/>
    </font>
    <font>
      <b val="1"/>
      <sz val="13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EF7"/>
      </patternFill>
    </fill>
    <fill>
      <patternFill patternType="solid">
        <fgColor rgb="00FF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</cols>
  <sheetData>
    <row r="1">
      <c r="A1" s="1" t="inlineStr">
        <is>
          <t>Riverside Malls — Smart Trolley Pilot</t>
        </is>
      </c>
    </row>
    <row r="2">
      <c r="A2" s="2" t="inlineStr">
        <is>
          <t>Inputs (blue) drive every formula on the other sheets.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Variable cost per trolley (£/mo)</t>
        </is>
      </c>
      <c r="B5" s="5" t="n">
        <v>40</v>
      </c>
      <c r="C5" s="4" t="inlineStr">
        <is>
          <t>Maintenance, support, telematics</t>
        </is>
      </c>
    </row>
    <row r="6">
      <c r="A6" s="4" t="inlineStr">
        <is>
          <t>Fixed cost per month (£)</t>
        </is>
      </c>
      <c r="B6" s="5" t="n">
        <v>3000</v>
      </c>
      <c r="C6" s="4" t="inlineStr">
        <is>
          <t>Platform, depot, on-call staff</t>
        </is>
      </c>
    </row>
    <row r="7">
      <c r="A7" s="4" t="inlineStr">
        <is>
          <t>Number of trolleys in pilot</t>
        </is>
      </c>
      <c r="B7" s="5" t="n">
        <v>25</v>
      </c>
      <c r="C7" s="4" t="inlineStr">
        <is>
          <t>Phase-1 fleet size</t>
        </is>
      </c>
    </row>
    <row r="8">
      <c r="A8" s="4" t="inlineStr">
        <is>
          <t>Price tier 1 — floor (£)</t>
        </is>
      </c>
      <c r="B8" s="5" t="n">
        <v>150</v>
      </c>
      <c r="C8" s="4" t="inlineStr">
        <is>
          <t>Penetration price</t>
        </is>
      </c>
    </row>
    <row r="9">
      <c r="A9" s="4" t="inlineStr">
        <is>
          <t>Price tier 2 — base (£)</t>
        </is>
      </c>
      <c r="B9" s="5" t="n">
        <v>200</v>
      </c>
      <c r="C9" s="4" t="inlineStr">
        <is>
          <t>Headline pilot price</t>
        </is>
      </c>
    </row>
    <row r="10">
      <c r="A10" s="4" t="inlineStr">
        <is>
          <t>Price tier 3 — premium (£)</t>
        </is>
      </c>
      <c r="B10" s="5" t="n">
        <v>250</v>
      </c>
      <c r="C10" s="4" t="inlineStr">
        <is>
          <t>Stretch price</t>
        </is>
      </c>
    </row>
    <row r="11">
      <c r="A11" s="4" t="inlineStr">
        <is>
          <t>Price tier 4 — aspirational (£)</t>
        </is>
      </c>
      <c r="B11" s="5" t="n">
        <v>300</v>
      </c>
      <c r="C11" s="4" t="inlineStr">
        <is>
          <t>Upside price</t>
        </is>
      </c>
    </row>
    <row r="12">
      <c r="A12" s="4" t="inlineStr">
        <is>
          <t>Churn rate (stretch, monthly)</t>
        </is>
      </c>
      <c r="B12" s="5" t="n">
        <v>0.2</v>
      </c>
      <c r="C12" s="4" t="inlineStr">
        <is>
          <t>Trolleys needing re-deployment</t>
        </is>
      </c>
    </row>
    <row r="13">
      <c r="A13" s="4" t="inlineStr">
        <is>
          <t>Re-deployment cost per churned trolley (£)</t>
        </is>
      </c>
      <c r="B13" s="5" t="n">
        <v>120</v>
      </c>
      <c r="C13" s="4" t="inlineStr">
        <is>
          <t>Pickup + refurb + logistics</t>
        </is>
      </c>
    </row>
    <row r="14">
      <c r="A14" s="4" t="inlineStr">
        <is>
          <t>Support cost multiplier (stretch)</t>
        </is>
      </c>
      <c r="B14" s="5" t="n">
        <v>2</v>
      </c>
      <c r="C14" s="4" t="inlineStr">
        <is>
          <t>2× = stressed scenario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6" t="inlineStr">
        <is>
          <t>Profit &amp; Break-even at the 4 Candidate Prices</t>
        </is>
      </c>
    </row>
    <row r="3">
      <c r="A3" s="3" t="inlineStr">
        <is>
          <t>Price tier</t>
        </is>
      </c>
      <c r="B3" s="3" t="inlineStr">
        <is>
          <t>Price (£)</t>
        </is>
      </c>
      <c r="C3" s="3" t="inlineStr">
        <is>
          <t>Contribution (£)</t>
        </is>
      </c>
      <c r="D3" s="3" t="inlineStr">
        <is>
          <t>Monthly profit (£)</t>
        </is>
      </c>
      <c r="E3" s="3" t="inlineStr">
        <is>
          <t>Break-even trolleys</t>
        </is>
      </c>
    </row>
    <row r="4">
      <c r="A4" s="4" t="inlineStr">
        <is>
          <t>Floor (£150)</t>
        </is>
      </c>
      <c r="B4" s="4">
        <f>Assumptions!$B$8</f>
        <v/>
      </c>
      <c r="C4" s="4">
        <f>B4-Assumptions!$B$5</f>
        <v/>
      </c>
      <c r="D4" s="4">
        <f>Assumptions!$B$7*C4-Assumptions!$B$6</f>
        <v/>
      </c>
      <c r="E4" s="4">
        <f>Assumptions!$B$6/C4</f>
        <v/>
      </c>
    </row>
    <row r="5">
      <c r="A5" s="7" t="inlineStr">
        <is>
          <t>Base (£200)</t>
        </is>
      </c>
      <c r="B5" s="7">
        <f>Assumptions!$B$9</f>
        <v/>
      </c>
      <c r="C5" s="7">
        <f>B5-Assumptions!$B$5</f>
        <v/>
      </c>
      <c r="D5" s="7">
        <f>Assumptions!$B$7*C5-Assumptions!$B$6</f>
        <v/>
      </c>
      <c r="E5" s="7">
        <f>Assumptions!$B$6/C5</f>
        <v/>
      </c>
    </row>
    <row r="6">
      <c r="A6" s="4" t="inlineStr">
        <is>
          <t>Premium (£250)</t>
        </is>
      </c>
      <c r="B6" s="4">
        <f>Assumptions!$B$10</f>
        <v/>
      </c>
      <c r="C6" s="4">
        <f>B6-Assumptions!$B$5</f>
        <v/>
      </c>
      <c r="D6" s="4">
        <f>Assumptions!$B$7*C6-Assumptions!$B$6</f>
        <v/>
      </c>
      <c r="E6" s="4">
        <f>Assumptions!$B$6/C6</f>
        <v/>
      </c>
    </row>
    <row r="7">
      <c r="A7" s="4" t="inlineStr">
        <is>
          <t>Aspirational (£300)</t>
        </is>
      </c>
      <c r="B7" s="4">
        <f>Assumptions!$B$11</f>
        <v/>
      </c>
      <c r="C7" s="4">
        <f>B7-Assumptions!$B$5</f>
        <v/>
      </c>
      <c r="D7" s="4">
        <f>Assumptions!$B$7*C7-Assumptions!$B$6</f>
        <v/>
      </c>
      <c r="E7" s="4">
        <f>Assumptions!$B$6/C7</f>
        <v/>
      </c>
    </row>
    <row r="9">
      <c r="A9" s="8" t="inlineStr">
        <is>
          <t>Recommendation:</t>
        </is>
      </c>
      <c r="B9" t="inlineStr">
        <is>
          <t>Charge £200/trolley/month. £1,000/month profit, 6-trolley margin of safety above the 18.75 break-even.</t>
        </is>
      </c>
    </row>
  </sheetData>
  <mergeCells count="1">
    <mergeCell ref="B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8" customWidth="1" min="4" max="4"/>
    <col width="28" customWidth="1" min="5" max="5"/>
  </cols>
  <sheetData>
    <row r="1">
      <c r="A1" s="6" t="inlineStr">
        <is>
          <t>Sensitivity — How much margin can we lose before the pilot breaks?</t>
        </is>
      </c>
    </row>
    <row r="3">
      <c r="A3" s="3" t="inlineStr">
        <is>
          <t>Scenario</t>
        </is>
      </c>
      <c r="B3" s="3" t="inlineStr">
        <is>
          <t>Variable cost (£)</t>
        </is>
      </c>
      <c r="C3" s="3" t="inlineStr">
        <is>
          <t>Fixed cost (£)</t>
        </is>
      </c>
      <c r="D3" s="3" t="inlineStr">
        <is>
          <t>Effective trolleys</t>
        </is>
      </c>
      <c r="E3" s="3" t="inlineStr">
        <is>
          <t>Monthly profit (£) @ £200</t>
        </is>
      </c>
    </row>
    <row r="4">
      <c r="A4" s="4" t="inlineStr">
        <is>
          <t>Baseline</t>
        </is>
      </c>
      <c r="B4" s="4">
        <f>Assumptions!$B$5</f>
        <v/>
      </c>
      <c r="C4" s="4">
        <f>Assumptions!$B$6</f>
        <v/>
      </c>
      <c r="D4" s="4">
        <f>Assumptions!$B$7</f>
        <v/>
      </c>
      <c r="E4" s="4">
        <f>D4*(Assumptions!$B$9-B4)-C4</f>
        <v/>
      </c>
    </row>
    <row r="5">
      <c r="A5" s="4" t="inlineStr">
        <is>
          <t>Support cost doubles</t>
        </is>
      </c>
      <c r="B5" s="4">
        <f>Assumptions!$B$5*Assumptions!$B$14</f>
        <v/>
      </c>
      <c r="C5" s="4">
        <f>Assumptions!$B$6</f>
        <v/>
      </c>
      <c r="D5" s="4">
        <f>Assumptions!$B$7</f>
        <v/>
      </c>
      <c r="E5" s="4">
        <f>D5*(Assumptions!$B$9-B5)-C5</f>
        <v/>
      </c>
    </row>
    <row r="6">
      <c r="A6" s="9" t="inlineStr">
        <is>
          <t>20% monthly churn (re-deployment cost)</t>
        </is>
      </c>
      <c r="B6" s="9">
        <f>Assumptions!$B$5</f>
        <v/>
      </c>
      <c r="C6" s="9">
        <f>Assumptions!$B$6+Assumptions!$B$12*Assumptions!$B$7*Assumptions!$B$13</f>
        <v/>
      </c>
      <c r="D6" s="9">
        <f>Assumptions!$B$7*(1-Assumptions!$B$12)</f>
        <v/>
      </c>
      <c r="E6" s="9">
        <f>D6*(Assumptions!$B$9-B6)-C6</f>
        <v/>
      </c>
    </row>
    <row r="8">
      <c r="A8" s="10" t="inlineStr">
        <is>
          <t>Read: at £200, the pilot survives 2× support cost exactly at break-even. It does NOT survive 20% monthly churn.</t>
        </is>
      </c>
    </row>
  </sheetData>
  <mergeCells count="1"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</cols>
  <sheetData>
    <row r="1">
      <c r="A1" s="6" t="inlineStr">
        <is>
          <t>Full Price Sweep — for profit-vs-price chart</t>
        </is>
      </c>
    </row>
    <row r="3">
      <c r="A3" s="3" t="inlineStr">
        <is>
          <t>Price (£)</t>
        </is>
      </c>
      <c r="B3" s="3" t="inlineStr">
        <is>
          <t>Monthly profit (£)</t>
        </is>
      </c>
      <c r="C3" s="3" t="inlineStr">
        <is>
          <t>Break-even trolleys</t>
        </is>
      </c>
    </row>
    <row r="4">
      <c r="A4" s="4" t="n">
        <v>100</v>
      </c>
      <c r="B4" s="4">
        <f>Assumptions!$B$7*(A4-Assumptions!$B$5)-Assumptions!$B$6</f>
        <v/>
      </c>
      <c r="C4" s="4">
        <f>Assumptions!$B$6/(A4-Assumptions!$B$5)</f>
        <v/>
      </c>
    </row>
    <row r="5">
      <c r="A5" s="4" t="n">
        <v>110</v>
      </c>
      <c r="B5" s="4">
        <f>Assumptions!$B$7*(A5-Assumptions!$B$5)-Assumptions!$B$6</f>
        <v/>
      </c>
      <c r="C5" s="4">
        <f>Assumptions!$B$6/(A5-Assumptions!$B$5)</f>
        <v/>
      </c>
    </row>
    <row r="6">
      <c r="A6" s="4" t="n">
        <v>120</v>
      </c>
      <c r="B6" s="4">
        <f>Assumptions!$B$7*(A6-Assumptions!$B$5)-Assumptions!$B$6</f>
        <v/>
      </c>
      <c r="C6" s="4">
        <f>Assumptions!$B$6/(A6-Assumptions!$B$5)</f>
        <v/>
      </c>
    </row>
    <row r="7">
      <c r="A7" s="4" t="n">
        <v>130</v>
      </c>
      <c r="B7" s="4">
        <f>Assumptions!$B$7*(A7-Assumptions!$B$5)-Assumptions!$B$6</f>
        <v/>
      </c>
      <c r="C7" s="4">
        <f>Assumptions!$B$6/(A7-Assumptions!$B$5)</f>
        <v/>
      </c>
    </row>
    <row r="8">
      <c r="A8" s="4" t="n">
        <v>140</v>
      </c>
      <c r="B8" s="4">
        <f>Assumptions!$B$7*(A8-Assumptions!$B$5)-Assumptions!$B$6</f>
        <v/>
      </c>
      <c r="C8" s="4">
        <f>Assumptions!$B$6/(A8-Assumptions!$B$5)</f>
        <v/>
      </c>
    </row>
    <row r="9">
      <c r="A9" s="4" t="n">
        <v>150</v>
      </c>
      <c r="B9" s="4">
        <f>Assumptions!$B$7*(A9-Assumptions!$B$5)-Assumptions!$B$6</f>
        <v/>
      </c>
      <c r="C9" s="4">
        <f>Assumptions!$B$6/(A9-Assumptions!$B$5)</f>
        <v/>
      </c>
    </row>
    <row r="10">
      <c r="A10" s="4" t="n">
        <v>160</v>
      </c>
      <c r="B10" s="4">
        <f>Assumptions!$B$7*(A10-Assumptions!$B$5)-Assumptions!$B$6</f>
        <v/>
      </c>
      <c r="C10" s="4">
        <f>Assumptions!$B$6/(A10-Assumptions!$B$5)</f>
        <v/>
      </c>
    </row>
    <row r="11">
      <c r="A11" s="4" t="n">
        <v>170</v>
      </c>
      <c r="B11" s="4">
        <f>Assumptions!$B$7*(A11-Assumptions!$B$5)-Assumptions!$B$6</f>
        <v/>
      </c>
      <c r="C11" s="4">
        <f>Assumptions!$B$6/(A11-Assumptions!$B$5)</f>
        <v/>
      </c>
    </row>
    <row r="12">
      <c r="A12" s="4" t="n">
        <v>180</v>
      </c>
      <c r="B12" s="4">
        <f>Assumptions!$B$7*(A12-Assumptions!$B$5)-Assumptions!$B$6</f>
        <v/>
      </c>
      <c r="C12" s="4">
        <f>Assumptions!$B$6/(A12-Assumptions!$B$5)</f>
        <v/>
      </c>
    </row>
    <row r="13">
      <c r="A13" s="4" t="n">
        <v>190</v>
      </c>
      <c r="B13" s="4">
        <f>Assumptions!$B$7*(A13-Assumptions!$B$5)-Assumptions!$B$6</f>
        <v/>
      </c>
      <c r="C13" s="4">
        <f>Assumptions!$B$6/(A13-Assumptions!$B$5)</f>
        <v/>
      </c>
    </row>
    <row r="14">
      <c r="A14" s="4" t="n">
        <v>200</v>
      </c>
      <c r="B14" s="4">
        <f>Assumptions!$B$7*(A14-Assumptions!$B$5)-Assumptions!$B$6</f>
        <v/>
      </c>
      <c r="C14" s="4">
        <f>Assumptions!$B$6/(A14-Assumptions!$B$5)</f>
        <v/>
      </c>
    </row>
    <row r="15">
      <c r="A15" s="4" t="n">
        <v>210</v>
      </c>
      <c r="B15" s="4">
        <f>Assumptions!$B$7*(A15-Assumptions!$B$5)-Assumptions!$B$6</f>
        <v/>
      </c>
      <c r="C15" s="4">
        <f>Assumptions!$B$6/(A15-Assumptions!$B$5)</f>
        <v/>
      </c>
    </row>
    <row r="16">
      <c r="A16" s="4" t="n">
        <v>220</v>
      </c>
      <c r="B16" s="4">
        <f>Assumptions!$B$7*(A16-Assumptions!$B$5)-Assumptions!$B$6</f>
        <v/>
      </c>
      <c r="C16" s="4">
        <f>Assumptions!$B$6/(A16-Assumptions!$B$5)</f>
        <v/>
      </c>
    </row>
    <row r="17">
      <c r="A17" s="4" t="n">
        <v>230</v>
      </c>
      <c r="B17" s="4">
        <f>Assumptions!$B$7*(A17-Assumptions!$B$5)-Assumptions!$B$6</f>
        <v/>
      </c>
      <c r="C17" s="4">
        <f>Assumptions!$B$6/(A17-Assumptions!$B$5)</f>
        <v/>
      </c>
    </row>
    <row r="18">
      <c r="A18" s="4" t="n">
        <v>240</v>
      </c>
      <c r="B18" s="4">
        <f>Assumptions!$B$7*(A18-Assumptions!$B$5)-Assumptions!$B$6</f>
        <v/>
      </c>
      <c r="C18" s="4">
        <f>Assumptions!$B$6/(A18-Assumptions!$B$5)</f>
        <v/>
      </c>
    </row>
    <row r="19">
      <c r="A19" s="4" t="n">
        <v>250</v>
      </c>
      <c r="B19" s="4">
        <f>Assumptions!$B$7*(A19-Assumptions!$B$5)-Assumptions!$B$6</f>
        <v/>
      </c>
      <c r="C19" s="4">
        <f>Assumptions!$B$6/(A19-Assumptions!$B$5)</f>
        <v/>
      </c>
    </row>
    <row r="20">
      <c r="A20" s="4" t="n">
        <v>260</v>
      </c>
      <c r="B20" s="4">
        <f>Assumptions!$B$7*(A20-Assumptions!$B$5)-Assumptions!$B$6</f>
        <v/>
      </c>
      <c r="C20" s="4">
        <f>Assumptions!$B$6/(A20-Assumptions!$B$5)</f>
        <v/>
      </c>
    </row>
    <row r="21">
      <c r="A21" s="4" t="n">
        <v>270</v>
      </c>
      <c r="B21" s="4">
        <f>Assumptions!$B$7*(A21-Assumptions!$B$5)-Assumptions!$B$6</f>
        <v/>
      </c>
      <c r="C21" s="4">
        <f>Assumptions!$B$6/(A21-Assumptions!$B$5)</f>
        <v/>
      </c>
    </row>
    <row r="22">
      <c r="A22" s="4" t="n">
        <v>280</v>
      </c>
      <c r="B22" s="4">
        <f>Assumptions!$B$7*(A22-Assumptions!$B$5)-Assumptions!$B$6</f>
        <v/>
      </c>
      <c r="C22" s="4">
        <f>Assumptions!$B$6/(A22-Assumptions!$B$5)</f>
        <v/>
      </c>
    </row>
    <row r="23">
      <c r="A23" s="4" t="n">
        <v>290</v>
      </c>
      <c r="B23" s="4">
        <f>Assumptions!$B$7*(A23-Assumptions!$B$5)-Assumptions!$B$6</f>
        <v/>
      </c>
      <c r="C23" s="4">
        <f>Assumptions!$B$6/(A23-Assumptions!$B$5)</f>
        <v/>
      </c>
    </row>
    <row r="24">
      <c r="A24" s="4" t="n">
        <v>300</v>
      </c>
      <c r="B24" s="4">
        <f>Assumptions!$B$7*(A24-Assumptions!$B$5)-Assumptions!$B$6</f>
        <v/>
      </c>
      <c r="C24" s="4">
        <f>Assumptions!$B$6/(A24-Assumptions!$B$5)</f>
        <v/>
      </c>
    </row>
    <row r="25">
      <c r="A25" s="4" t="n">
        <v>310</v>
      </c>
      <c r="B25" s="4">
        <f>Assumptions!$B$7*(A25-Assumptions!$B$5)-Assumptions!$B$6</f>
        <v/>
      </c>
      <c r="C25" s="4">
        <f>Assumptions!$B$6/(A25-Assumptions!$B$5)</f>
        <v/>
      </c>
    </row>
    <row r="26">
      <c r="A26" s="4" t="n">
        <v>320</v>
      </c>
      <c r="B26" s="4">
        <f>Assumptions!$B$7*(A26-Assumptions!$B$5)-Assumptions!$B$6</f>
        <v/>
      </c>
      <c r="C26" s="4">
        <f>Assumptions!$B$6/(A26-Assumptions!$B$5)</f>
        <v/>
      </c>
    </row>
    <row r="27">
      <c r="A27" s="4" t="n">
        <v>330</v>
      </c>
      <c r="B27" s="4">
        <f>Assumptions!$B$7*(A27-Assumptions!$B$5)-Assumptions!$B$6</f>
        <v/>
      </c>
      <c r="C27" s="4">
        <f>Assumptions!$B$6/(A27-Assumptions!$B$5)</f>
        <v/>
      </c>
    </row>
    <row r="28">
      <c r="A28" s="4" t="n">
        <v>340</v>
      </c>
      <c r="B28" s="4">
        <f>Assumptions!$B$7*(A28-Assumptions!$B$5)-Assumptions!$B$6</f>
        <v/>
      </c>
      <c r="C28" s="4">
        <f>Assumptions!$B$6/(A28-Assumptions!$B$5)</f>
        <v/>
      </c>
    </row>
    <row r="29">
      <c r="A29" s="4" t="n">
        <v>350</v>
      </c>
      <c r="B29" s="4">
        <f>Assumptions!$B$7*(A29-Assumptions!$B$5)-Assumptions!$B$6</f>
        <v/>
      </c>
      <c r="C29" s="4">
        <f>Assumptions!$B$6/(A29-Assumptions!$B$5)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2026-07-31T14:51:35Z</dcterms:created>
  <dcterms:modified xmlns:dcterms="http://purl.org/dc/terms/" xmlns:xsi="http://www.w3.org/2001/XMLSchema-instance" xsi:type="dcterms:W3CDTF">2026-07-31T14:51:35Z</dcterms:modified>
</cp:coreProperties>
</file>